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is TMA" sheetId="1" r:id="rId5"/>
  </sheets>
  <definedNames/>
  <calcPr/>
</workbook>
</file>

<file path=xl/sharedStrings.xml><?xml version="1.0" encoding="utf-8"?>
<sst xmlns="http://schemas.openxmlformats.org/spreadsheetml/2006/main" count="92" uniqueCount="74">
  <si>
    <t>Likyly</t>
  </si>
  <si>
    <t>DEVIS TMA</t>
  </si>
  <si>
    <t>Get your time back</t>
  </si>
  <si>
    <t>N° de devis</t>
  </si>
  <si>
    <t>TMA-2026-001</t>
  </si>
  <si>
    <t>Arnaud BRETON · Freelance Tech &amp; Fullstack</t>
  </si>
  <si>
    <t>Date</t>
  </si>
  <si>
    <t>arnaud@likyly.fr</t>
  </si>
  <si>
    <t>Validité</t>
  </si>
  <si>
    <t>SIRET 000 000 000 00000</t>
  </si>
  <si>
    <t>Objet : contrat de Tierce Maintenance Applicative (TMA) — prestation récurrente, facturation mensuelle à terme échu, engagement 12 mois.</t>
  </si>
  <si>
    <t>DESTINATAIRE</t>
  </si>
  <si>
    <t>[Nom du client / Société]</t>
  </si>
  <si>
    <t>[Adresse]</t>
  </si>
  <si>
    <t>[Code postal — Ville]</t>
  </si>
  <si>
    <t>[Contact · e-mail]</t>
  </si>
  <si>
    <t>Devis modulaire — colonne « Inclure ? » : Oui = module retenu et compté · Non = module proposé mais écarté (grisé). Chaque type de TMA intègre son Déploiement et sa Recette / QA. Coûts exprimés par mois et sur 12 mois ; les totaux se recalculent seuls.</t>
  </si>
  <si>
    <t>Inclure ?</t>
  </si>
  <si>
    <t>Type de TMA</t>
  </si>
  <si>
    <t>Prestation</t>
  </si>
  <si>
    <t>TJM</t>
  </si>
  <si>
    <t>Jours / mois</t>
  </si>
  <si>
    <t>Coût mensuel HT</t>
  </si>
  <si>
    <t>Coût annuel HT</t>
  </si>
  <si>
    <t>TMA CORRECTIVE — anomalies &amp; non-régression</t>
  </si>
  <si>
    <t>Oui</t>
  </si>
  <si>
    <t>CORRECTIVE</t>
  </si>
  <si>
    <t>Correction d'anomalies (analyse, reproduction, correctif)</t>
  </si>
  <si>
    <t>Déploiement des correctifs (mise en production)</t>
  </si>
  <si>
    <t>Recette / QA de non-régression</t>
  </si>
  <si>
    <t>Sous-total CORRECTIVE (retenu)</t>
  </si>
  <si>
    <t>TMA ADAPTATIVE — montées de version &amp; compatibilité</t>
  </si>
  <si>
    <t>ADAPTATIVE</t>
  </si>
  <si>
    <t>Veille &amp; adaptation (dépendances, API tierces, navigateurs, conformité)</t>
  </si>
  <si>
    <t>Déploiement des adaptations (mise en production)</t>
  </si>
  <si>
    <t>Recette / QA de compatibilité</t>
  </si>
  <si>
    <t>Sous-total ADAPTATIVE (retenu)</t>
  </si>
  <si>
    <t>TMA ÉVOLUTIVE — évolutions mineures &amp; améliorations</t>
  </si>
  <si>
    <t>ÉVOLUTIVE</t>
  </si>
  <si>
    <t>Évolutions mineures &amp; améliorations continues</t>
  </si>
  <si>
    <t>Déploiement des évolutions (mise en production)</t>
  </si>
  <si>
    <t>Recette / QA fonctionnelle</t>
  </si>
  <si>
    <t>Sous-total ÉVOLUTIVE (retenu)</t>
  </si>
  <si>
    <t>TMA PRÉVENTIVE — supervision &amp; sécurité (option)</t>
  </si>
  <si>
    <t>Non</t>
  </si>
  <si>
    <t>PRÉVENTIVE</t>
  </si>
  <si>
    <t>Supervision, patchs de sécurité, sauvegardes, revues préventives</t>
  </si>
  <si>
    <t>Déploiement des patchs (mise en production)</t>
  </si>
  <si>
    <t>Recette / QA préventive</t>
  </si>
  <si>
    <t>Sous-total PRÉVENTIVE (retenu)</t>
  </si>
  <si>
    <t>RÉCAPITULATIF</t>
  </si>
  <si>
    <t>Mensuel</t>
  </si>
  <si>
    <t>Annuel (×12)</t>
  </si>
  <si>
    <t>dont corrective</t>
  </si>
  <si>
    <t>dont adaptative</t>
  </si>
  <si>
    <t>dont évolutive</t>
  </si>
  <si>
    <t>dont préventive (option)</t>
  </si>
  <si>
    <t>TOTAL HT</t>
  </si>
  <si>
    <t>TVA (20 %)</t>
  </si>
  <si>
    <t>TOTAL TTC</t>
  </si>
  <si>
    <t>Modalités de la TMA</t>
  </si>
  <si>
    <t>Prestation récurrente facturée mensuellement à terme échu. Engagement initial de 12 mois, reconductible par tacite reconduction, révisable annuellement.</t>
  </si>
  <si>
    <t>•  Chaque type de TMA inclut le déploiement en production et la recette / QA associés (lignes détaillées ci-dessus).</t>
  </si>
  <si>
    <t>•  Volumétrie exprimée en jours-homme par mois (hypothèse à ajuster selon l'usage réel et les engagements de service retenus).</t>
  </si>
  <si>
    <t>•  Modèle d'engagement de service (délais d'intervention / rétablissement, plages horaires) à définir en annexe si un SLA est requis.</t>
  </si>
  <si>
    <t>Exclusions et limites du périmètre</t>
  </si>
  <si>
    <t>•  Refontes et évolutions majeures (nouveaux modules, changements d'architecture) : hors TMA, chiffrées séparément au forfait projet.</t>
  </si>
  <si>
    <t>•  Abonnements aux LLM (OpenAI, Anthropic…) et services Cloud / hébergement : à la charge du client, facturés directement par les fournisseurs.</t>
  </si>
  <si>
    <t>•  Interventions liées à un usage non conforme, à des développements tiers non maîtrisés ou à une infrastructure hors périmètre convenu.</t>
  </si>
  <si>
    <t>Merci de votre confiance. Je m'engage à un maintien en conditions opérationnelles transparent, mesuré et documenté, mois après mois.</t>
  </si>
  <si>
    <t>Bon pour accord</t>
  </si>
  <si>
    <t>Date et signature du client :</t>
  </si>
  <si>
    <t>(précédée de la mention « Bon pour accord »)</t>
  </si>
  <si>
    <t>Note interne (à retirer avant envoi) — Colonne « Inclure ? » : Oui/Non (convertible en cases à cocher ; les formules gèrent Oui/Non ET TRUE/FALSE). « Jours / mois » et « Inclure ? » pilotent seuls les totaux mensuels et annuels. Ajouter une ligne DANS un type étend automatiquement son sous-total. TJM par défaut 600 €. Volumétries = hypothèses à ajuster. TMA préventive proposée en option (défaut « Non »).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</si>
</sst>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-40C]#,##0&quot; €&quot;"/>
    <numFmt numFmtId="166" formatCode="[$-40C]0.##"/>
  </numFmts>
  <fonts count="20">
    <font>
      <sz val="11.0"/>
      <color theme="1"/>
      <name val="Calibri"/>
      <scheme val="minor"/>
    </font>
    <font>
      <b/>
      <sz val="30.0"/>
      <color rgb="FF3B3F7B"/>
      <name val="Calibri"/>
    </font>
    <font>
      <b/>
      <sz val="24.0"/>
      <color rgb="FF5742DE"/>
      <name val="Calibri"/>
    </font>
    <font>
      <i/>
      <sz val="11.0"/>
      <color rgb="FF5742DE"/>
      <name val="Calibri"/>
    </font>
    <font>
      <sz val="10.0"/>
      <color rgb="FF6B6A85"/>
      <name val="Calibri"/>
    </font>
    <font>
      <b/>
      <sz val="11.0"/>
      <color rgb="FF3B3F7B"/>
      <name val="Calibri"/>
    </font>
    <font>
      <sz val="11.0"/>
      <color rgb="FF3B3F7B"/>
      <name val="Calibri"/>
    </font>
    <font>
      <sz val="11.0"/>
      <color theme="1"/>
      <name val="Calibri"/>
    </font>
    <font>
      <b/>
      <sz val="10.0"/>
      <color rgb="FF4534B0"/>
      <name val="Calibri"/>
    </font>
    <font/>
    <font>
      <sz val="11.0"/>
      <color rgb="FF6B6A85"/>
      <name val="Calibri"/>
    </font>
    <font>
      <i/>
      <sz val="9.0"/>
      <color rgb="FF6B6A85"/>
      <name val="Calibri"/>
    </font>
    <font>
      <b/>
      <sz val="11.0"/>
      <color rgb="FFFFFFFF"/>
      <name val="Calibri"/>
    </font>
    <font>
      <b/>
      <sz val="11.0"/>
      <color rgb="FF4534B0"/>
      <name val="Calibri"/>
    </font>
    <font>
      <b/>
      <sz val="10.0"/>
      <color rgb="FF6B6A85"/>
      <name val="Calibri"/>
    </font>
    <font>
      <i/>
      <sz val="10.0"/>
      <color rgb="FF6B6A85"/>
      <name val="Calibri"/>
    </font>
    <font>
      <b/>
      <sz val="12.0"/>
      <color rgb="FFFFFFFF"/>
      <name val="Calibri"/>
    </font>
    <font>
      <b/>
      <sz val="12.0"/>
      <color rgb="FF3B3F7B"/>
      <name val="Calibri"/>
    </font>
    <font>
      <i/>
      <sz val="10.0"/>
      <color rgb="FF5742DE"/>
      <name val="Calibri"/>
    </font>
    <font>
      <i/>
      <sz val="8.0"/>
      <color rgb="FF6B6A85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2FB"/>
        <bgColor rgb="FFF3F2FB"/>
      </patternFill>
    </fill>
    <fill>
      <patternFill patternType="solid">
        <fgColor rgb="FF3B3F7B"/>
        <bgColor rgb="FF3B3F7B"/>
      </patternFill>
    </fill>
    <fill>
      <patternFill patternType="solid">
        <fgColor rgb="FFBCBAEB"/>
        <bgColor rgb="FFBCBAEB"/>
      </patternFill>
    </fill>
  </fills>
  <borders count="22">
    <border/>
    <border>
      <bottom style="medium">
        <color rgb="FF3B3F7B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CBAEB"/>
      </left>
      <right style="thin">
        <color rgb="FFBCBAEB"/>
      </right>
      <top style="thin">
        <color rgb="FFBCBAEB"/>
      </top>
      <bottom style="thin">
        <color rgb="FFBCBAEB"/>
      </bottom>
    </border>
    <border>
      <left style="thin">
        <color rgb="FFBCBAEB"/>
      </left>
      <top style="thin">
        <color rgb="FFBCBAEB"/>
      </top>
      <bottom style="thin">
        <color rgb="FFBCBAEB"/>
      </bottom>
    </border>
    <border>
      <top style="thin">
        <color rgb="FFBCBAEB"/>
      </top>
      <bottom style="thin">
        <color rgb="FFBCBAEB"/>
      </bottom>
    </border>
    <border>
      <right style="thin">
        <color rgb="FFBCBAEB"/>
      </right>
      <top style="thin">
        <color rgb="FFBCBAEB"/>
      </top>
      <bottom style="thin">
        <color rgb="FFBCBAEB"/>
      </bottom>
    </border>
    <border>
      <left/>
      <right/>
      <top/>
      <bottom/>
    </border>
    <border>
      <left style="medium">
        <color rgb="FF3B3F7B"/>
      </left>
      <top style="medium">
        <color rgb="FF3B3F7B"/>
      </top>
      <bottom style="medium">
        <color rgb="FF3B3F7B"/>
      </bottom>
    </border>
    <border>
      <top style="medium">
        <color rgb="FF3B3F7B"/>
      </top>
      <bottom style="medium">
        <color rgb="FF3B3F7B"/>
      </bottom>
    </border>
    <border>
      <right style="medium">
        <color rgb="FF3B3F7B"/>
      </right>
      <top style="medium">
        <color rgb="FF3B3F7B"/>
      </top>
      <bottom style="medium">
        <color rgb="FF3B3F7B"/>
      </bottom>
    </border>
    <border>
      <left style="medium">
        <color rgb="FF3B3F7B"/>
      </left>
      <right style="medium">
        <color rgb="FF3B3F7B"/>
      </right>
      <top style="medium">
        <color rgb="FF3B3F7B"/>
      </top>
      <bottom style="medium">
        <color rgb="FF3B3F7B"/>
      </bottom>
    </border>
    <border>
      <bottom style="thin">
        <color rgb="FFBCBAEB"/>
      </bottom>
    </border>
    <border>
      <left style="thin">
        <color rgb="FFBCBAEB"/>
      </left>
      <top style="thin">
        <color rgb="FFBCBAEB"/>
      </top>
    </border>
    <border>
      <top style="thin">
        <color rgb="FFBCBAEB"/>
      </top>
    </border>
    <border>
      <right style="thin">
        <color rgb="FFBCBAEB"/>
      </right>
      <top style="thin">
        <color rgb="FFBCBAEB"/>
      </top>
    </border>
    <border>
      <left style="thin">
        <color rgb="FFBCBAEB"/>
      </left>
    </border>
    <border>
      <right style="thin">
        <color rgb="FFBCBAEB"/>
      </right>
    </border>
    <border>
      <left style="thin">
        <color rgb="FFBCBAEB"/>
      </left>
      <bottom style="thin">
        <color rgb="FFBCBAEB"/>
      </bottom>
    </border>
    <border>
      <right style="thin">
        <color rgb="FFBCBAEB"/>
      </right>
      <bottom style="thin">
        <color rgb="FFBCBAEB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164" xfId="0" applyAlignment="1" applyFont="1" applyNumberFormat="1">
      <alignment horizontal="right" shrinkToFit="0" vertical="center" wrapText="1"/>
    </xf>
    <xf borderId="0" fillId="0" fontId="6" numFmtId="0" xfId="0" applyAlignment="1" applyFont="1">
      <alignment horizontal="right" shrinkToFit="0" vertical="center" wrapText="1"/>
    </xf>
    <xf borderId="1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horizontal="left" shrinkToFit="0" vertical="top" wrapText="1"/>
    </xf>
    <xf borderId="2" fillId="2" fontId="5" numFmtId="0" xfId="0" applyAlignment="1" applyBorder="1" applyFill="1" applyFont="1">
      <alignment horizontal="left" shrinkToFit="0" vertical="center" wrapText="1"/>
    </xf>
    <xf borderId="3" fillId="0" fontId="9" numFmtId="0" xfId="0" applyBorder="1" applyFont="1"/>
    <xf borderId="4" fillId="0" fontId="9" numFmtId="0" xfId="0" applyBorder="1" applyFont="1"/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shrinkToFit="0" vertical="top" wrapText="1"/>
    </xf>
    <xf borderId="5" fillId="3" fontId="12" numFmtId="0" xfId="0" applyAlignment="1" applyBorder="1" applyFill="1" applyFont="1">
      <alignment horizontal="center" shrinkToFit="0" vertical="center" wrapText="1"/>
    </xf>
    <xf borderId="6" fillId="4" fontId="5" numFmtId="0" xfId="0" applyAlignment="1" applyBorder="1" applyFill="1" applyFont="1">
      <alignment horizontal="left" shrinkToFit="0" vertical="center" wrapText="1"/>
    </xf>
    <xf borderId="7" fillId="0" fontId="9" numFmtId="0" xfId="0" applyBorder="1" applyFont="1"/>
    <xf borderId="8" fillId="0" fontId="9" numFmtId="0" xfId="0" applyBorder="1" applyFont="1"/>
    <xf borderId="5" fillId="0" fontId="5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0" fontId="6" numFmtId="165" xfId="0" applyAlignment="1" applyBorder="1" applyFont="1" applyNumberFormat="1">
      <alignment horizontal="center" shrinkToFit="0" vertical="center" wrapText="1"/>
    </xf>
    <xf borderId="5" fillId="0" fontId="6" numFmtId="166" xfId="0" applyAlignment="1" applyBorder="1" applyFont="1" applyNumberFormat="1">
      <alignment horizontal="center" shrinkToFit="0" vertical="center" wrapText="1"/>
    </xf>
    <xf borderId="5" fillId="0" fontId="5" numFmtId="165" xfId="0" applyAlignment="1" applyBorder="1" applyFont="1" applyNumberFormat="1">
      <alignment horizontal="right" shrinkToFit="0" vertical="center" wrapText="1"/>
    </xf>
    <xf borderId="5" fillId="0" fontId="6" numFmtId="165" xfId="0" applyAlignment="1" applyBorder="1" applyFont="1" applyNumberFormat="1">
      <alignment horizontal="right" shrinkToFit="0" vertical="center" wrapText="1"/>
    </xf>
    <xf borderId="6" fillId="2" fontId="5" numFmtId="0" xfId="0" applyAlignment="1" applyBorder="1" applyFont="1">
      <alignment horizontal="right" shrinkToFit="0" vertical="center" wrapText="1"/>
    </xf>
    <xf borderId="5" fillId="2" fontId="5" numFmtId="165" xfId="0" applyAlignment="1" applyBorder="1" applyFont="1" applyNumberFormat="1">
      <alignment horizontal="right" shrinkToFit="0" vertical="center" wrapText="1"/>
    </xf>
    <xf borderId="6" fillId="2" fontId="13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15" numFmtId="165" xfId="0" applyAlignment="1" applyFont="1" applyNumberFormat="1">
      <alignment horizontal="right" shrinkToFit="0" vertical="center" wrapText="1"/>
    </xf>
    <xf borderId="2" fillId="2" fontId="5" numFmtId="0" xfId="0" applyAlignment="1" applyBorder="1" applyFont="1">
      <alignment horizontal="right" shrinkToFit="0" vertical="center" wrapText="1"/>
    </xf>
    <xf borderId="9" fillId="2" fontId="5" numFmtId="165" xfId="0" applyAlignment="1" applyBorder="1" applyFont="1" applyNumberFormat="1">
      <alignment horizontal="right" shrinkToFit="0" vertical="center" wrapText="1"/>
    </xf>
    <xf borderId="10" fillId="3" fontId="16" numFmtId="0" xfId="0" applyAlignment="1" applyBorder="1" applyFont="1">
      <alignment horizontal="right" shrinkToFit="0" vertical="center" wrapText="1"/>
    </xf>
    <xf borderId="11" fillId="0" fontId="9" numFmtId="0" xfId="0" applyBorder="1" applyFont="1"/>
    <xf borderId="12" fillId="0" fontId="9" numFmtId="0" xfId="0" applyBorder="1" applyFont="1"/>
    <xf borderId="13" fillId="3" fontId="16" numFmtId="165" xfId="0" applyAlignment="1" applyBorder="1" applyFont="1" applyNumberFormat="1">
      <alignment horizontal="right" shrinkToFit="0" vertical="center" wrapText="1"/>
    </xf>
    <xf borderId="14" fillId="0" fontId="17" numFmtId="0" xfId="0" applyAlignment="1" applyBorder="1" applyFont="1">
      <alignment horizontal="left" shrinkToFit="0" vertical="center" wrapText="1"/>
    </xf>
    <xf borderId="14" fillId="0" fontId="9" numFmtId="0" xfId="0" applyBorder="1" applyFont="1"/>
    <xf borderId="0" fillId="0" fontId="4" numFmtId="0" xfId="0" applyAlignment="1" applyFont="1">
      <alignment horizontal="left" shrinkToFit="0" vertical="top" wrapText="1"/>
    </xf>
    <xf borderId="0" fillId="0" fontId="18" numFmtId="0" xfId="0" applyAlignment="1" applyFont="1">
      <alignment horizontal="left" shrinkToFit="0" vertical="center" wrapText="1"/>
    </xf>
    <xf borderId="15" fillId="0" fontId="7" numFmtId="0" xfId="0" applyAlignment="1" applyBorder="1" applyFont="1">
      <alignment shrinkToFit="0" vertical="bottom" wrapText="0"/>
    </xf>
    <xf borderId="16" fillId="0" fontId="9" numFmtId="0" xfId="0" applyBorder="1" applyFont="1"/>
    <xf borderId="17" fillId="0" fontId="9" numFmtId="0" xfId="0" applyBorder="1" applyFont="1"/>
    <xf borderId="18" fillId="0" fontId="9" numFmtId="0" xfId="0" applyBorder="1" applyFont="1"/>
    <xf borderId="19" fillId="0" fontId="9" numFmtId="0" xfId="0" applyBorder="1" applyFont="1"/>
    <xf borderId="20" fillId="0" fontId="9" numFmtId="0" xfId="0" applyBorder="1" applyFont="1"/>
    <xf borderId="21" fillId="0" fontId="9" numFmtId="0" xfId="0" applyBorder="1" applyFont="1"/>
    <xf borderId="0" fillId="0" fontId="19" numFmtId="0" xfId="0" applyAlignment="1" applyFont="1">
      <alignment horizontal="left" shrinkToFit="0" vertical="top" wrapText="1"/>
    </xf>
  </cellXfs>
  <cellStyles count="1">
    <cellStyle xfId="0" name="Normal" builtinId="0"/>
  </cellStyles>
  <dxfs count="2">
    <dxf>
      <font>
        <i/>
        <color rgb="FF9AA0A6"/>
        <name val="Calibri"/>
      </font>
      <fill>
        <patternFill patternType="solid">
          <fgColor rgb="FFECECEF"/>
          <bgColor rgb="FFECECEF"/>
        </patternFill>
      </fill>
      <border/>
    </dxf>
    <dxf>
      <font>
        <b/>
        <color rgb="FF1E7F4F"/>
        <name val="Calibri"/>
      </font>
      <fill>
        <patternFill patternType="solid">
          <fgColor rgb="FFE9F6EF"/>
          <bgColor rgb="FFE9F6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7.0" topLeftCell="A18" activePane="bottomLeft" state="frozen"/>
      <selection activeCell="B19" sqref="B19" pane="bottomLeft"/>
    </sheetView>
  </sheetViews>
  <sheetFormatPr customHeight="1" defaultColWidth="14.43" defaultRowHeight="15.0"/>
  <cols>
    <col customWidth="1" min="1" max="1" width="11.0"/>
    <col customWidth="1" min="2" max="2" width="16.0"/>
    <col customWidth="1" min="3" max="3" width="44.0"/>
    <col customWidth="1" min="4" max="4" width="11.0"/>
    <col customWidth="1" min="5" max="5" width="12.0"/>
    <col customWidth="1" min="6" max="6" width="15.0"/>
    <col customWidth="1" min="7" max="7" width="16.0"/>
    <col customWidth="1" min="8" max="26" width="8.71"/>
  </cols>
  <sheetData>
    <row r="1" ht="39.75" customHeight="1">
      <c r="A1" s="1" t="s">
        <v>0</v>
      </c>
      <c r="E1" s="2" t="s">
        <v>1</v>
      </c>
    </row>
    <row r="2" ht="15.0" customHeight="1">
      <c r="A2" s="3" t="s">
        <v>2</v>
      </c>
      <c r="E2" s="4" t="s">
        <v>3</v>
      </c>
      <c r="F2" s="5" t="s">
        <v>4</v>
      </c>
    </row>
    <row r="3" ht="15.0" customHeight="1">
      <c r="A3" s="6" t="s">
        <v>5</v>
      </c>
      <c r="E3" s="4" t="s">
        <v>6</v>
      </c>
      <c r="F3" s="7">
        <v>46245.0</v>
      </c>
    </row>
    <row r="4" ht="15.0" customHeight="1">
      <c r="A4" s="4" t="s">
        <v>7</v>
      </c>
      <c r="E4" s="4" t="s">
        <v>8</v>
      </c>
      <c r="F4" s="8" t="str">
        <f>"30 jours — jusqu'au "&amp;TEXT(F3+30,"DD/MM/YYYY")</f>
        <v>30 jours — jusqu'au 10/09/2026</v>
      </c>
    </row>
    <row r="5" ht="15.0" customHeight="1">
      <c r="A5" s="4" t="s">
        <v>9</v>
      </c>
    </row>
    <row r="7" ht="3.75" customHeight="1">
      <c r="A7" s="9"/>
      <c r="B7" s="9"/>
      <c r="C7" s="9"/>
      <c r="D7" s="9"/>
      <c r="E7" s="9"/>
      <c r="F7" s="9"/>
      <c r="G7" s="9"/>
    </row>
    <row r="8" ht="25.5" customHeight="1">
      <c r="A8" s="10" t="s">
        <v>10</v>
      </c>
    </row>
    <row r="9" ht="15.0" customHeight="1">
      <c r="A9" s="11" t="s">
        <v>11</v>
      </c>
      <c r="B9" s="12"/>
      <c r="C9" s="12"/>
      <c r="D9" s="12"/>
      <c r="E9" s="12"/>
      <c r="F9" s="12"/>
      <c r="G9" s="13"/>
    </row>
    <row r="10" ht="15.0" customHeight="1">
      <c r="A10" s="6" t="s">
        <v>12</v>
      </c>
    </row>
    <row r="11" ht="15.0" customHeight="1">
      <c r="A11" s="14" t="s">
        <v>13</v>
      </c>
    </row>
    <row r="12" ht="15.0" customHeight="1">
      <c r="A12" s="14" t="s">
        <v>14</v>
      </c>
    </row>
    <row r="13" ht="15.0" customHeight="1">
      <c r="A13" s="14" t="s">
        <v>15</v>
      </c>
    </row>
    <row r="15" ht="30.0" customHeight="1">
      <c r="A15" s="15" t="s">
        <v>16</v>
      </c>
    </row>
    <row r="17" ht="25.5" customHeight="1">
      <c r="A17" s="16" t="s">
        <v>17</v>
      </c>
      <c r="B17" s="16" t="s">
        <v>18</v>
      </c>
      <c r="C17" s="16" t="s">
        <v>19</v>
      </c>
      <c r="D17" s="16" t="s">
        <v>20</v>
      </c>
      <c r="E17" s="16" t="s">
        <v>21</v>
      </c>
      <c r="F17" s="16" t="s">
        <v>22</v>
      </c>
      <c r="G17" s="16" t="s">
        <v>23</v>
      </c>
    </row>
    <row r="18" ht="19.5" customHeight="1">
      <c r="A18" s="17" t="s">
        <v>24</v>
      </c>
      <c r="B18" s="18"/>
      <c r="C18" s="18"/>
      <c r="D18" s="18"/>
      <c r="E18" s="18"/>
      <c r="F18" s="18"/>
      <c r="G18" s="19"/>
    </row>
    <row r="19" ht="19.5" customHeight="1">
      <c r="A19" s="20" t="s">
        <v>25</v>
      </c>
      <c r="B19" s="21" t="s">
        <v>26</v>
      </c>
      <c r="C19" s="22" t="s">
        <v>27</v>
      </c>
      <c r="D19" s="23">
        <v>600.0</v>
      </c>
      <c r="E19" s="24">
        <v>2.0</v>
      </c>
      <c r="F19" s="25">
        <f t="shared" ref="F19:F21" si="1">D19*E19</f>
        <v>1200</v>
      </c>
      <c r="G19" s="26">
        <f t="shared" ref="G19:G21" si="2">F19*12</f>
        <v>14400</v>
      </c>
    </row>
    <row r="20" ht="19.5" customHeight="1">
      <c r="A20" s="20" t="s">
        <v>25</v>
      </c>
      <c r="B20" s="21" t="s">
        <v>26</v>
      </c>
      <c r="C20" s="22" t="s">
        <v>28</v>
      </c>
      <c r="D20" s="23">
        <v>600.0</v>
      </c>
      <c r="E20" s="24">
        <v>0.5</v>
      </c>
      <c r="F20" s="25">
        <f t="shared" si="1"/>
        <v>300</v>
      </c>
      <c r="G20" s="26">
        <f t="shared" si="2"/>
        <v>3600</v>
      </c>
    </row>
    <row r="21" ht="19.5" customHeight="1">
      <c r="A21" s="20" t="s">
        <v>25</v>
      </c>
      <c r="B21" s="21" t="s">
        <v>26</v>
      </c>
      <c r="C21" s="22" t="s">
        <v>29</v>
      </c>
      <c r="D21" s="23">
        <v>600.0</v>
      </c>
      <c r="E21" s="24">
        <v>0.5</v>
      </c>
      <c r="F21" s="25">
        <f t="shared" si="1"/>
        <v>300</v>
      </c>
      <c r="G21" s="26">
        <f t="shared" si="2"/>
        <v>3600</v>
      </c>
    </row>
    <row r="22" ht="19.5" customHeight="1">
      <c r="A22" s="27" t="s">
        <v>30</v>
      </c>
      <c r="B22" s="18"/>
      <c r="C22" s="18"/>
      <c r="D22" s="18"/>
      <c r="E22" s="19"/>
      <c r="F22" s="28">
        <f>SUMPRODUCT(($A$19:$A$21="Oui")+($A$19:$A$21=TRUE()),$F$19:$F$21)</f>
        <v>1800</v>
      </c>
      <c r="G22" s="28">
        <f>SUMPRODUCT(($A$19:$A$21="Oui")+($A$19:$A$21=TRUE()),$G$19:$G$21)</f>
        <v>21600</v>
      </c>
    </row>
    <row r="23" ht="19.5" customHeight="1">
      <c r="A23" s="17" t="s">
        <v>31</v>
      </c>
      <c r="B23" s="18"/>
      <c r="C23" s="18"/>
      <c r="D23" s="18"/>
      <c r="E23" s="18"/>
      <c r="F23" s="18"/>
      <c r="G23" s="19"/>
    </row>
    <row r="24" ht="19.5" customHeight="1">
      <c r="A24" s="20" t="s">
        <v>25</v>
      </c>
      <c r="B24" s="21" t="s">
        <v>32</v>
      </c>
      <c r="C24" s="22" t="s">
        <v>33</v>
      </c>
      <c r="D24" s="23">
        <v>600.0</v>
      </c>
      <c r="E24" s="24">
        <v>1.5</v>
      </c>
      <c r="F24" s="25">
        <f t="shared" ref="F24:F26" si="3">D24*E24</f>
        <v>900</v>
      </c>
      <c r="G24" s="26">
        <f t="shared" ref="G24:G26" si="4">F24*12</f>
        <v>10800</v>
      </c>
    </row>
    <row r="25" ht="19.5" customHeight="1">
      <c r="A25" s="20" t="s">
        <v>25</v>
      </c>
      <c r="B25" s="21" t="s">
        <v>32</v>
      </c>
      <c r="C25" s="22" t="s">
        <v>34</v>
      </c>
      <c r="D25" s="23">
        <v>600.0</v>
      </c>
      <c r="E25" s="24">
        <v>0.5</v>
      </c>
      <c r="F25" s="25">
        <f t="shared" si="3"/>
        <v>300</v>
      </c>
      <c r="G25" s="26">
        <f t="shared" si="4"/>
        <v>3600</v>
      </c>
    </row>
    <row r="26" ht="19.5" customHeight="1">
      <c r="A26" s="20" t="s">
        <v>25</v>
      </c>
      <c r="B26" s="21" t="s">
        <v>32</v>
      </c>
      <c r="C26" s="22" t="s">
        <v>35</v>
      </c>
      <c r="D26" s="23">
        <v>600.0</v>
      </c>
      <c r="E26" s="24">
        <v>0.5</v>
      </c>
      <c r="F26" s="25">
        <f t="shared" si="3"/>
        <v>300</v>
      </c>
      <c r="G26" s="26">
        <f t="shared" si="4"/>
        <v>3600</v>
      </c>
    </row>
    <row r="27" ht="19.5" customHeight="1">
      <c r="A27" s="27" t="s">
        <v>36</v>
      </c>
      <c r="B27" s="18"/>
      <c r="C27" s="18"/>
      <c r="D27" s="18"/>
      <c r="E27" s="19"/>
      <c r="F27" s="28">
        <f>SUMPRODUCT(($A$24:$A$26="Oui")+($A$24:$A$26=TRUE()),$F$24:$F$26)</f>
        <v>1500</v>
      </c>
      <c r="G27" s="28">
        <f>SUMPRODUCT(($A$24:$A$26="Oui")+($A$24:$A$26=TRUE()),$G$24:$G$26)</f>
        <v>18000</v>
      </c>
    </row>
    <row r="28" ht="19.5" customHeight="1">
      <c r="A28" s="17" t="s">
        <v>37</v>
      </c>
      <c r="B28" s="18"/>
      <c r="C28" s="18"/>
      <c r="D28" s="18"/>
      <c r="E28" s="18"/>
      <c r="F28" s="18"/>
      <c r="G28" s="19"/>
    </row>
    <row r="29" ht="19.5" customHeight="1">
      <c r="A29" s="20" t="s">
        <v>25</v>
      </c>
      <c r="B29" s="21" t="s">
        <v>38</v>
      </c>
      <c r="C29" s="22" t="s">
        <v>39</v>
      </c>
      <c r="D29" s="23">
        <v>600.0</v>
      </c>
      <c r="E29" s="24">
        <v>3.0</v>
      </c>
      <c r="F29" s="25">
        <f t="shared" ref="F29:F31" si="5">D29*E29</f>
        <v>1800</v>
      </c>
      <c r="G29" s="26">
        <f t="shared" ref="G29:G31" si="6">F29*12</f>
        <v>21600</v>
      </c>
    </row>
    <row r="30" ht="19.5" customHeight="1">
      <c r="A30" s="20" t="s">
        <v>25</v>
      </c>
      <c r="B30" s="21" t="s">
        <v>38</v>
      </c>
      <c r="C30" s="22" t="s">
        <v>40</v>
      </c>
      <c r="D30" s="23">
        <v>600.0</v>
      </c>
      <c r="E30" s="24">
        <v>0.5</v>
      </c>
      <c r="F30" s="25">
        <f t="shared" si="5"/>
        <v>300</v>
      </c>
      <c r="G30" s="26">
        <f t="shared" si="6"/>
        <v>3600</v>
      </c>
    </row>
    <row r="31" ht="19.5" customHeight="1">
      <c r="A31" s="20" t="s">
        <v>25</v>
      </c>
      <c r="B31" s="21" t="s">
        <v>38</v>
      </c>
      <c r="C31" s="22" t="s">
        <v>41</v>
      </c>
      <c r="D31" s="23">
        <v>600.0</v>
      </c>
      <c r="E31" s="24">
        <v>1.0</v>
      </c>
      <c r="F31" s="25">
        <f t="shared" si="5"/>
        <v>600</v>
      </c>
      <c r="G31" s="26">
        <f t="shared" si="6"/>
        <v>7200</v>
      </c>
    </row>
    <row r="32" ht="19.5" customHeight="1">
      <c r="A32" s="27" t="s">
        <v>42</v>
      </c>
      <c r="B32" s="18"/>
      <c r="C32" s="18"/>
      <c r="D32" s="18"/>
      <c r="E32" s="19"/>
      <c r="F32" s="28">
        <f>SUMPRODUCT(($A$29:$A$31="Oui")+($A$29:$A$31=TRUE()),$F$29:$F$31)</f>
        <v>2700</v>
      </c>
      <c r="G32" s="28">
        <f>SUMPRODUCT(($A$29:$A$31="Oui")+($A$29:$A$31=TRUE()),$G$29:$G$31)</f>
        <v>32400</v>
      </c>
    </row>
    <row r="33" ht="19.5" customHeight="1">
      <c r="A33" s="29" t="s">
        <v>43</v>
      </c>
      <c r="B33" s="18"/>
      <c r="C33" s="18"/>
      <c r="D33" s="18"/>
      <c r="E33" s="18"/>
      <c r="F33" s="18"/>
      <c r="G33" s="19"/>
    </row>
    <row r="34" ht="19.5" customHeight="1">
      <c r="A34" s="20" t="s">
        <v>44</v>
      </c>
      <c r="B34" s="21" t="s">
        <v>45</v>
      </c>
      <c r="C34" s="22" t="s">
        <v>46</v>
      </c>
      <c r="D34" s="23">
        <v>600.0</v>
      </c>
      <c r="E34" s="24">
        <v>1.5</v>
      </c>
      <c r="F34" s="25">
        <f t="shared" ref="F34:F36" si="7">D34*E34</f>
        <v>900</v>
      </c>
      <c r="G34" s="26">
        <f t="shared" ref="G34:G36" si="8">F34*12</f>
        <v>10800</v>
      </c>
    </row>
    <row r="35" ht="19.5" customHeight="1">
      <c r="A35" s="20" t="s">
        <v>44</v>
      </c>
      <c r="B35" s="21" t="s">
        <v>45</v>
      </c>
      <c r="C35" s="22" t="s">
        <v>47</v>
      </c>
      <c r="D35" s="23">
        <v>600.0</v>
      </c>
      <c r="E35" s="24">
        <v>0.5</v>
      </c>
      <c r="F35" s="25">
        <f t="shared" si="7"/>
        <v>300</v>
      </c>
      <c r="G35" s="26">
        <f t="shared" si="8"/>
        <v>3600</v>
      </c>
    </row>
    <row r="36" ht="19.5" customHeight="1">
      <c r="A36" s="20" t="s">
        <v>44</v>
      </c>
      <c r="B36" s="21" t="s">
        <v>45</v>
      </c>
      <c r="C36" s="22" t="s">
        <v>48</v>
      </c>
      <c r="D36" s="23">
        <v>600.0</v>
      </c>
      <c r="E36" s="24">
        <v>0.5</v>
      </c>
      <c r="F36" s="25">
        <f t="shared" si="7"/>
        <v>300</v>
      </c>
      <c r="G36" s="26">
        <f t="shared" si="8"/>
        <v>3600</v>
      </c>
    </row>
    <row r="37" ht="19.5" customHeight="1">
      <c r="A37" s="27" t="s">
        <v>49</v>
      </c>
      <c r="B37" s="18"/>
      <c r="C37" s="18"/>
      <c r="D37" s="18"/>
      <c r="E37" s="19"/>
      <c r="F37" s="28">
        <f>SUMPRODUCT(($A$34:$A$36="Oui")+($A$34:$A$36=TRUE()),$F$34:$F$36)</f>
        <v>0</v>
      </c>
      <c r="G37" s="28">
        <f>SUMPRODUCT(($A$34:$A$36="Oui")+($A$34:$A$36=TRUE()),$G$34:$G$36)</f>
        <v>0</v>
      </c>
    </row>
    <row r="38" ht="15.75" customHeight="1"/>
    <row r="39" ht="15.0" customHeight="1">
      <c r="A39" s="5" t="s">
        <v>50</v>
      </c>
      <c r="F39" s="30" t="s">
        <v>51</v>
      </c>
      <c r="G39" s="30" t="s">
        <v>52</v>
      </c>
    </row>
    <row r="40" ht="18.0" customHeight="1">
      <c r="A40" s="31" t="s">
        <v>53</v>
      </c>
      <c r="F40" s="32">
        <f t="shared" ref="F40:G40" si="9">F22</f>
        <v>1800</v>
      </c>
      <c r="G40" s="32">
        <f t="shared" si="9"/>
        <v>21600</v>
      </c>
    </row>
    <row r="41" ht="18.0" customHeight="1">
      <c r="A41" s="31" t="s">
        <v>54</v>
      </c>
      <c r="F41" s="32">
        <f t="shared" ref="F41:G41" si="10">F27</f>
        <v>1500</v>
      </c>
      <c r="G41" s="32">
        <f t="shared" si="10"/>
        <v>18000</v>
      </c>
    </row>
    <row r="42" ht="18.0" customHeight="1">
      <c r="A42" s="31" t="s">
        <v>55</v>
      </c>
      <c r="F42" s="32">
        <f t="shared" ref="F42:G42" si="11">F32</f>
        <v>2700</v>
      </c>
      <c r="G42" s="32">
        <f t="shared" si="11"/>
        <v>32400</v>
      </c>
    </row>
    <row r="43" ht="18.0" customHeight="1">
      <c r="A43" s="31" t="s">
        <v>56</v>
      </c>
      <c r="F43" s="32">
        <f t="shared" ref="F43:G43" si="12">F37</f>
        <v>0</v>
      </c>
      <c r="G43" s="32">
        <f t="shared" si="12"/>
        <v>0</v>
      </c>
    </row>
    <row r="44" ht="19.5" customHeight="1">
      <c r="A44" s="33" t="s">
        <v>57</v>
      </c>
      <c r="B44" s="12"/>
      <c r="C44" s="12"/>
      <c r="D44" s="12"/>
      <c r="E44" s="13"/>
      <c r="F44" s="34">
        <f>SUMPRODUCT(($A$19:$A$36="Oui")+($A$19:$A$36=TRUE()),$F$19:$F$36)</f>
        <v>6000</v>
      </c>
      <c r="G44" s="34">
        <f>SUMPRODUCT(($A$19:$A$36="Oui")+($A$19:$A$36=TRUE()),$G$19:$G$36)</f>
        <v>72000</v>
      </c>
    </row>
    <row r="45" ht="19.5" customHeight="1">
      <c r="A45" s="33" t="s">
        <v>58</v>
      </c>
      <c r="B45" s="12"/>
      <c r="C45" s="12"/>
      <c r="D45" s="12"/>
      <c r="E45" s="13"/>
      <c r="F45" s="34">
        <f t="shared" ref="F45:G45" si="13">F44*0.2</f>
        <v>1200</v>
      </c>
      <c r="G45" s="34">
        <f t="shared" si="13"/>
        <v>14400</v>
      </c>
    </row>
    <row r="46" ht="25.5" customHeight="1">
      <c r="A46" s="35" t="s">
        <v>59</v>
      </c>
      <c r="B46" s="36"/>
      <c r="C46" s="36"/>
      <c r="D46" s="36"/>
      <c r="E46" s="37"/>
      <c r="F46" s="38">
        <f t="shared" ref="F46:G46" si="14">F44+F45</f>
        <v>7200</v>
      </c>
      <c r="G46" s="38">
        <f t="shared" si="14"/>
        <v>86400</v>
      </c>
    </row>
    <row r="47" ht="15.75" customHeight="1"/>
    <row r="48" ht="21.75" customHeight="1">
      <c r="A48" s="39" t="s">
        <v>60</v>
      </c>
      <c r="B48" s="40"/>
      <c r="C48" s="40"/>
      <c r="D48" s="40"/>
      <c r="E48" s="40"/>
      <c r="F48" s="40"/>
      <c r="G48" s="40"/>
    </row>
    <row r="49" ht="30.0" customHeight="1">
      <c r="A49" s="41" t="s">
        <v>61</v>
      </c>
    </row>
    <row r="50" ht="27.75" customHeight="1">
      <c r="A50" s="41" t="s">
        <v>62</v>
      </c>
    </row>
    <row r="51" ht="27.75" customHeight="1">
      <c r="A51" s="41" t="s">
        <v>63</v>
      </c>
    </row>
    <row r="52" ht="27.75" customHeight="1">
      <c r="A52" s="41" t="s">
        <v>64</v>
      </c>
    </row>
    <row r="53" ht="15.75" customHeight="1"/>
    <row r="54" ht="21.75" customHeight="1">
      <c r="A54" s="39" t="s">
        <v>65</v>
      </c>
      <c r="B54" s="40"/>
      <c r="C54" s="40"/>
      <c r="D54" s="40"/>
      <c r="E54" s="40"/>
      <c r="F54" s="40"/>
      <c r="G54" s="40"/>
    </row>
    <row r="55" ht="27.75" customHeight="1">
      <c r="A55" s="41" t="s">
        <v>66</v>
      </c>
    </row>
    <row r="56" ht="27.75" customHeight="1">
      <c r="A56" s="41" t="s">
        <v>67</v>
      </c>
    </row>
    <row r="57" ht="27.75" customHeight="1">
      <c r="A57" s="41" t="s">
        <v>68</v>
      </c>
    </row>
    <row r="58" ht="15.75" customHeight="1"/>
    <row r="59" ht="27.75" customHeight="1">
      <c r="A59" s="42" t="s">
        <v>69</v>
      </c>
    </row>
    <row r="60" ht="15.75" customHeight="1"/>
    <row r="61" ht="15.0" customHeight="1">
      <c r="A61" s="6" t="s">
        <v>70</v>
      </c>
      <c r="D61" s="4" t="s">
        <v>71</v>
      </c>
    </row>
    <row r="62" ht="15.0" customHeight="1">
      <c r="A62" s="15" t="s">
        <v>72</v>
      </c>
      <c r="D62" s="43"/>
      <c r="E62" s="44"/>
      <c r="F62" s="44"/>
      <c r="G62" s="45"/>
    </row>
    <row r="63" ht="19.5" customHeight="1">
      <c r="D63" s="46"/>
      <c r="G63" s="47"/>
    </row>
    <row r="64" ht="19.5" customHeight="1">
      <c r="D64" s="48"/>
      <c r="E64" s="40"/>
      <c r="F64" s="40"/>
      <c r="G64" s="49"/>
    </row>
    <row r="65" ht="15.75" customHeight="1"/>
    <row r="66" ht="43.5" customHeight="1">
      <c r="A66" s="50" t="s">
        <v>73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A1:D1"/>
    <mergeCell ref="E1:G1"/>
    <mergeCell ref="A2:D2"/>
    <mergeCell ref="F2:G2"/>
    <mergeCell ref="A3:D3"/>
    <mergeCell ref="F3:G3"/>
    <mergeCell ref="F4:G4"/>
    <mergeCell ref="A4:D4"/>
    <mergeCell ref="A5:D5"/>
    <mergeCell ref="A8:G8"/>
    <mergeCell ref="A9:G9"/>
    <mergeCell ref="A10:G10"/>
    <mergeCell ref="A11:G11"/>
    <mergeCell ref="A12:G12"/>
    <mergeCell ref="A13:G13"/>
    <mergeCell ref="A15:G15"/>
    <mergeCell ref="A18:G18"/>
    <mergeCell ref="A22:E22"/>
    <mergeCell ref="A23:G23"/>
    <mergeCell ref="A27:E27"/>
    <mergeCell ref="A28:G28"/>
    <mergeCell ref="A32:E32"/>
    <mergeCell ref="A33:G33"/>
    <mergeCell ref="A37:E37"/>
    <mergeCell ref="A39:E39"/>
    <mergeCell ref="A40:E40"/>
    <mergeCell ref="A41:E41"/>
    <mergeCell ref="A42:E42"/>
    <mergeCell ref="A43:E43"/>
    <mergeCell ref="A44:E44"/>
    <mergeCell ref="A45:E45"/>
    <mergeCell ref="A46:E46"/>
    <mergeCell ref="A48:G48"/>
    <mergeCell ref="A49:G49"/>
    <mergeCell ref="A50:G50"/>
    <mergeCell ref="A61:C61"/>
    <mergeCell ref="D61:G61"/>
    <mergeCell ref="A62:C62"/>
    <mergeCell ref="D62:G64"/>
    <mergeCell ref="A66:G66"/>
    <mergeCell ref="A51:G51"/>
    <mergeCell ref="A52:G52"/>
    <mergeCell ref="A54:G54"/>
    <mergeCell ref="A55:G55"/>
    <mergeCell ref="A56:G56"/>
    <mergeCell ref="A57:G57"/>
    <mergeCell ref="A59:G59"/>
  </mergeCells>
  <conditionalFormatting sqref="A19:G36">
    <cfRule type="expression" dxfId="0" priority="1">
      <formula>OR($A19="Non",$A19=0)</formula>
    </cfRule>
  </conditionalFormatting>
  <conditionalFormatting sqref="A19:A36">
    <cfRule type="expression" dxfId="1" priority="2">
      <formula>OR($A19="Oui",$A19=1)</formula>
    </cfRule>
  </conditionalFormatting>
  <dataValidations>
    <dataValidation type="list" allowBlank="1" sqref="A19:A21 A24:A26 A29:A31 A34:A36">
      <formula1>"Oui,Non"</formula1>
    </dataValidation>
  </dataValidations>
  <printOptions/>
  <pageMargins bottom="0.5" footer="0.0" header="0.0" left="0.4" right="0.4" top="0.5"/>
  <pageSetup fitToHeight="0" paperSize="9" orientation="portrait"/>
  <drawing r:id="rId1"/>
</worksheet>
</file>