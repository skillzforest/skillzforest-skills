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s" sheetId="1" r:id="rId5"/>
  </sheets>
  <definedNames/>
  <calcPr/>
</workbook>
</file>

<file path=xl/sharedStrings.xml><?xml version="1.0" encoding="utf-8"?>
<sst xmlns="http://schemas.openxmlformats.org/spreadsheetml/2006/main" count="116" uniqueCount="90">
  <si>
    <t>Likyly</t>
  </si>
  <si>
    <t>DEVIS</t>
  </si>
  <si>
    <t>Get your time back</t>
  </si>
  <si>
    <t>N° de devis</t>
  </si>
  <si>
    <t>DEV-2026-001</t>
  </si>
  <si>
    <t>Arnaud BRETON · Freelance Tech &amp; Fullstack</t>
  </si>
  <si>
    <t>Date</t>
  </si>
  <si>
    <t>arnaud@likyly.fr</t>
  </si>
  <si>
    <t>Validité</t>
  </si>
  <si>
    <t>SIRET 000 000 000 00000</t>
  </si>
  <si>
    <t>DESTINATAIRE</t>
  </si>
  <si>
    <t>[Nom du client / Société]</t>
  </si>
  <si>
    <t>[Adresse]</t>
  </si>
  <si>
    <t>[Code postal — Ville]</t>
  </si>
  <si>
    <t>[Contact · e-mail]</t>
  </si>
  <si>
    <t>Devis modulaire — colonne « Inclure ? » : Oui = prestation retenue et comptée · Non = prestation proposée mais écartée (grisée, non comptée). Les totaux se recalculent seuls.</t>
  </si>
  <si>
    <t>Inclure ?</t>
  </si>
  <si>
    <t>Module / Lot</t>
  </si>
  <si>
    <t>Description de la feature</t>
  </si>
  <si>
    <t>Type</t>
  </si>
  <si>
    <t>TJM</t>
  </si>
  <si>
    <t>Jours</t>
  </si>
  <si>
    <t>Montant HT</t>
  </si>
  <si>
    <t>LOT 1 — CADRAGE &amp; ARCHITECTURE</t>
  </si>
  <si>
    <t>Oui</t>
  </si>
  <si>
    <t>LOT 1</t>
  </si>
  <si>
    <t>Architecture technique</t>
  </si>
  <si>
    <t>Cadrage</t>
  </si>
  <si>
    <t>Cadrage fonctionnel</t>
  </si>
  <si>
    <t>Sous-total LOT 1 (retenu)</t>
  </si>
  <si>
    <t>LOT 2 — PILOTAGE &amp; SUIVI AGILE</t>
  </si>
  <si>
    <t>LOT 2</t>
  </si>
  <si>
    <t>Gestion de projet</t>
  </si>
  <si>
    <t>Pilotage</t>
  </si>
  <si>
    <t>Sous-total LOT 2 (retenu)</t>
  </si>
  <si>
    <t>LOT 3 — CRÉATIVE &amp; UI/UX</t>
  </si>
  <si>
    <t>LOT 3</t>
  </si>
  <si>
    <t>Conception UX</t>
  </si>
  <si>
    <t>Design</t>
  </si>
  <si>
    <t>Design UI</t>
  </si>
  <si>
    <t>Sous-total LOT 3 (retenu)</t>
  </si>
  <si>
    <t>LOT 4 — DÉVELOPPEMENT ASSISTÉ PAR IA</t>
  </si>
  <si>
    <t>LOT 4</t>
  </si>
  <si>
    <t>Pipeline RAG — indexation vectorielle &amp; embeddings</t>
  </si>
  <si>
    <t>Dev IA</t>
  </si>
  <si>
    <t>Tests &amp; QA — Pipeline RAG (25 % du dev)</t>
  </si>
  <si>
    <t>QA</t>
  </si>
  <si>
    <t>Agent IA autonome — function calling &amp; gestion du contexte</t>
  </si>
  <si>
    <t>Tests &amp; QA — Agent IA (25 % du dev)</t>
  </si>
  <si>
    <t>Revue de code IA &amp; alignement des patterns</t>
  </si>
  <si>
    <t>Revue</t>
  </si>
  <si>
    <t>Recette globale &amp; tests d'intégration</t>
  </si>
  <si>
    <t>Sous-total LOT 4 (retenu)</t>
  </si>
  <si>
    <t>LOT 5 — DEVOPS &amp; INFRASTRUCTURE</t>
  </si>
  <si>
    <t>LOT 5</t>
  </si>
  <si>
    <t>CI/CD &amp; Cloud</t>
  </si>
  <si>
    <t>DevOps</t>
  </si>
  <si>
    <t>Sous-total LOT 5 (retenu)</t>
  </si>
  <si>
    <t>LOT 6 — REFACTURATION &amp; LICENCES</t>
  </si>
  <si>
    <t>LOT 6</t>
  </si>
  <si>
    <t>Estimation crédits API &amp; hébergement (montant forfaitaire)</t>
  </si>
  <si>
    <t>Licences</t>
  </si>
  <si>
    <t>—</t>
  </si>
  <si>
    <t>Sous-total LOT 6 (retenu)</t>
  </si>
  <si>
    <t>OPTION — OPTIONS COMPLÉMENTAIRES</t>
  </si>
  <si>
    <t>Non</t>
  </si>
  <si>
    <t>OPTION</t>
  </si>
  <si>
    <t>Tests de montée en charge &amp; stress-testing</t>
  </si>
  <si>
    <t>Sous-total OPTION (retenu)</t>
  </si>
  <si>
    <t>dont socle (Lots 1 à 6)</t>
  </si>
  <si>
    <t>dont options complémentaires</t>
  </si>
  <si>
    <t>TOTAL HT (prestations retenues)</t>
  </si>
  <si>
    <t>TVA (20 %)</t>
  </si>
  <si>
    <t>TOTAL TTC</t>
  </si>
  <si>
    <t>Durée et conditions de règlement</t>
  </si>
  <si>
    <t>Échéancier de paiement :</t>
  </si>
  <si>
    <t>•  30 % à la commande (acompte, à réception du présent devis signé).</t>
  </si>
  <si>
    <t>•  40 % en milieu de projet, à l'issue du Lot 4 « Développement assisté par IA ».</t>
  </si>
  <si>
    <t>•  30 % à la recette (livraison finale et validation).</t>
  </si>
  <si>
    <t>Règlement à 30 jours date de facture. Prix en euros, TVA au taux en vigueur (20 %).</t>
  </si>
  <si>
    <t>Exclusions et limites du périmètre</t>
  </si>
  <si>
    <t>Tout élément non explicitement cité dans le présent devis est hors périmètre. Notamment, sans que la liste soit exhaustive :</t>
  </si>
  <si>
    <t>•  Abonnements aux LLM (OpenAI, Anthropic…) et services Cloud / hébergement : à la charge du client, sur ses comptes, facturés directement par les fournisseurs.</t>
  </si>
  <si>
    <t>•  Nettoyage et préparation initiale des données (qualité, dédoublonnage, normalisation) : non inclus, à cadrer et chiffrer séparément si nécessaire.</t>
  </si>
  <si>
    <t>•  Maintenance au-delà de la garantie : garantie de 15 jours calendaires après la recette (anomalies bloquantes). Toute intervention ultérieure (TMA, évolutions) fait l'objet d'un contrat distinct.</t>
  </si>
  <si>
    <t>Merci de votre confiance. Je m'engage à un accompagnement transparent, à un code de qualité et à des livrables exploitables, étape par étape.</t>
  </si>
  <si>
    <t>Bon pour accord</t>
  </si>
  <si>
    <t>Date et signature du client :</t>
  </si>
  <si>
    <t>(précédée de la mention « Bon pour accord »)</t>
  </si>
  <si>
    <t>Note interne (à retirer avant envoi) — Colonne « Inclure ? » : Oui/Non (convertible en cases à cocher : Google Sheets → Insertion → Case à cocher ; Excel 365 → Insertion → Case à cocher — les formules gèrent Oui/Non ET TRUE/FALSE). Les colonnes « Jours » et « Inclure ? » pilotent seules tous les totaux. Ajouter une ligne DANS un lot étend automatiquement son sous-total. TJM par défaut 600 € ; ligne forfaitaire Lot 6 : 150 € (valeur fixe). Options par défaut sur « Non 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</si>
</sst>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-40C]#,##0&quot; €&quot;"/>
    <numFmt numFmtId="166" formatCode="[$-40C]0.##"/>
  </numFmts>
  <fonts count="19">
    <font>
      <sz val="11.0"/>
      <color theme="1"/>
      <name val="Calibri"/>
      <scheme val="minor"/>
    </font>
    <font>
      <b/>
      <sz val="30.0"/>
      <color rgb="FF3B3F7B"/>
      <name val="Calibri"/>
    </font>
    <font>
      <b/>
      <sz val="26.0"/>
      <color rgb="FF5742DE"/>
      <name val="Calibri"/>
    </font>
    <font>
      <i/>
      <sz val="11.0"/>
      <color rgb="FF5742DE"/>
      <name val="Calibri"/>
    </font>
    <font>
      <sz val="10.0"/>
      <color rgb="FF6B6A85"/>
      <name val="Calibri"/>
    </font>
    <font>
      <b/>
      <sz val="11.0"/>
      <color rgb="FF3B3F7B"/>
      <name val="Calibri"/>
    </font>
    <font>
      <sz val="11.0"/>
      <color rgb="FF3B3F7B"/>
      <name val="Calibri"/>
    </font>
    <font>
      <sz val="11.0"/>
      <color theme="1"/>
      <name val="Calibri"/>
    </font>
    <font/>
    <font>
      <sz val="11.0"/>
      <color rgb="FF6B6A85"/>
      <name val="Calibri"/>
    </font>
    <font>
      <i/>
      <sz val="9.0"/>
      <color rgb="FF6B6A85"/>
      <name val="Calibri"/>
    </font>
    <font>
      <b/>
      <sz val="11.0"/>
      <color rgb="FFFFFFFF"/>
      <name val="Calibri"/>
    </font>
    <font>
      <b/>
      <sz val="10.0"/>
      <color rgb="FF6B6A85"/>
      <name val="Calibri"/>
    </font>
    <font>
      <b/>
      <sz val="11.0"/>
      <color rgb="FF4534B0"/>
      <name val="Calibri"/>
    </font>
    <font>
      <i/>
      <sz val="10.0"/>
      <color rgb="FF6B6A85"/>
      <name val="Calibri"/>
    </font>
    <font>
      <b/>
      <sz val="13.0"/>
      <color rgb="FFFFFFFF"/>
      <name val="Calibri"/>
    </font>
    <font>
      <b/>
      <sz val="12.0"/>
      <color rgb="FF3B3F7B"/>
      <name val="Calibri"/>
    </font>
    <font>
      <i/>
      <sz val="10.0"/>
      <color rgb="FF5742DE"/>
      <name val="Calibri"/>
    </font>
    <font>
      <i/>
      <sz val="8.0"/>
      <color rgb="FF6B6A85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2FB"/>
        <bgColor rgb="FFF3F2FB"/>
      </patternFill>
    </fill>
    <fill>
      <patternFill patternType="solid">
        <fgColor rgb="FF3B3F7B"/>
        <bgColor rgb="FF3B3F7B"/>
      </patternFill>
    </fill>
    <fill>
      <patternFill patternType="solid">
        <fgColor rgb="FFBCBAEB"/>
        <bgColor rgb="FFBCBAEB"/>
      </patternFill>
    </fill>
  </fills>
  <borders count="22">
    <border/>
    <border>
      <bottom style="medium">
        <color rgb="FF3B3F7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CBAEB"/>
      </left>
      <right style="thin">
        <color rgb="FFBCBAEB"/>
      </right>
      <top style="thin">
        <color rgb="FFBCBAEB"/>
      </top>
      <bottom style="thin">
        <color rgb="FFBCBAEB"/>
      </bottom>
    </border>
    <border>
      <left style="thin">
        <color rgb="FFBCBAEB"/>
      </left>
      <top style="thin">
        <color rgb="FFBCBAEB"/>
      </top>
      <bottom style="thin">
        <color rgb="FFBCBAEB"/>
      </bottom>
    </border>
    <border>
      <top style="thin">
        <color rgb="FFBCBAEB"/>
      </top>
      <bottom style="thin">
        <color rgb="FFBCBAEB"/>
      </bottom>
    </border>
    <border>
      <right style="thin">
        <color rgb="FFBCBAEB"/>
      </right>
      <top style="thin">
        <color rgb="FFBCBAEB"/>
      </top>
      <bottom style="thin">
        <color rgb="FFBCBAEB"/>
      </bottom>
    </border>
    <border>
      <left/>
      <right/>
      <top/>
      <bottom/>
    </border>
    <border>
      <left style="medium">
        <color rgb="FF3B3F7B"/>
      </left>
      <top style="medium">
        <color rgb="FF3B3F7B"/>
      </top>
      <bottom style="medium">
        <color rgb="FF3B3F7B"/>
      </bottom>
    </border>
    <border>
      <top style="medium">
        <color rgb="FF3B3F7B"/>
      </top>
      <bottom style="medium">
        <color rgb="FF3B3F7B"/>
      </bottom>
    </border>
    <border>
      <right style="medium">
        <color rgb="FF3B3F7B"/>
      </right>
      <top style="medium">
        <color rgb="FF3B3F7B"/>
      </top>
      <bottom style="medium">
        <color rgb="FF3B3F7B"/>
      </bottom>
    </border>
    <border>
      <left style="medium">
        <color rgb="FF3B3F7B"/>
      </left>
      <right style="medium">
        <color rgb="FF3B3F7B"/>
      </right>
      <top style="medium">
        <color rgb="FF3B3F7B"/>
      </top>
      <bottom style="medium">
        <color rgb="FF3B3F7B"/>
      </bottom>
    </border>
    <border>
      <bottom style="thin">
        <color rgb="FFBCBAEB"/>
      </bottom>
    </border>
    <border>
      <left style="thin">
        <color rgb="FFBCBAEB"/>
      </left>
      <top style="thin">
        <color rgb="FFBCBAEB"/>
      </top>
    </border>
    <border>
      <top style="thin">
        <color rgb="FFBCBAEB"/>
      </top>
    </border>
    <border>
      <right style="thin">
        <color rgb="FFBCBAEB"/>
      </right>
      <top style="thin">
        <color rgb="FFBCBAEB"/>
      </top>
    </border>
    <border>
      <left style="thin">
        <color rgb="FFBCBAEB"/>
      </left>
    </border>
    <border>
      <right style="thin">
        <color rgb="FFBCBAEB"/>
      </right>
    </border>
    <border>
      <left style="thin">
        <color rgb="FFBCBAEB"/>
      </left>
      <bottom style="thin">
        <color rgb="FFBCBAEB"/>
      </bottom>
    </border>
    <border>
      <right style="thin">
        <color rgb="FFBCBAEB"/>
      </right>
      <bottom style="thin">
        <color rgb="FFBCBAEB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6" numFmtId="0" xfId="0" applyAlignment="1" applyFont="1">
      <alignment horizontal="right" shrinkToFit="0" vertical="center" wrapText="1"/>
    </xf>
    <xf borderId="1" fillId="0" fontId="7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horizontal="left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5" fillId="3" fontId="11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7" fillId="0" fontId="8" numFmtId="0" xfId="0" applyBorder="1" applyFont="1"/>
    <xf borderId="8" fillId="0" fontId="8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5" fillId="0" fontId="6" numFmtId="166" xfId="0" applyAlignment="1" applyBorder="1" applyFont="1" applyNumberFormat="1">
      <alignment horizontal="center" shrinkToFit="0" vertical="center" wrapText="1"/>
    </xf>
    <xf borderId="5" fillId="0" fontId="5" numFmtId="165" xfId="0" applyAlignment="1" applyBorder="1" applyFont="1" applyNumberFormat="1">
      <alignment horizontal="righ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right" shrinkToFit="0" vertical="center" wrapText="1"/>
    </xf>
    <xf borderId="5" fillId="2" fontId="5" numFmtId="165" xfId="0" applyAlignment="1" applyBorder="1" applyFont="1" applyNumberFormat="1">
      <alignment horizontal="right" shrinkToFit="0" vertical="center" wrapText="1"/>
    </xf>
    <xf borderId="6" fillId="2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4" numFmtId="165" xfId="0" applyAlignment="1" applyFont="1" applyNumberFormat="1">
      <alignment horizontal="right" shrinkToFit="0" vertical="center" wrapText="1"/>
    </xf>
    <xf borderId="2" fillId="2" fontId="5" numFmtId="0" xfId="0" applyAlignment="1" applyBorder="1" applyFont="1">
      <alignment horizontal="right" shrinkToFit="0" vertical="center" wrapText="1"/>
    </xf>
    <xf borderId="9" fillId="2" fontId="7" numFmtId="0" xfId="0" applyAlignment="1" applyBorder="1" applyFont="1">
      <alignment shrinkToFit="0" vertical="bottom" wrapText="0"/>
    </xf>
    <xf borderId="9" fillId="2" fontId="5" numFmtId="165" xfId="0" applyAlignment="1" applyBorder="1" applyFont="1" applyNumberFormat="1">
      <alignment horizontal="right" shrinkToFit="0" vertical="center" wrapText="1"/>
    </xf>
    <xf borderId="10" fillId="3" fontId="15" numFmtId="0" xfId="0" applyAlignment="1" applyBorder="1" applyFont="1">
      <alignment horizontal="right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3" fontId="7" numFmtId="0" xfId="0" applyAlignment="1" applyBorder="1" applyFont="1">
      <alignment shrinkToFit="0" vertical="bottom" wrapText="0"/>
    </xf>
    <xf borderId="13" fillId="3" fontId="15" numFmtId="165" xfId="0" applyAlignment="1" applyBorder="1" applyFont="1" applyNumberFormat="1">
      <alignment horizontal="right" shrinkToFit="0" vertical="center" wrapText="1"/>
    </xf>
    <xf borderId="14" fillId="0" fontId="16" numFmtId="0" xfId="0" applyAlignment="1" applyBorder="1" applyFont="1">
      <alignment horizontal="left" shrinkToFit="0" vertical="center" wrapText="1"/>
    </xf>
    <xf borderId="14" fillId="0" fontId="8" numFmtId="0" xfId="0" applyBorder="1" applyFont="1"/>
    <xf borderId="0" fillId="0" fontId="12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17" numFmtId="0" xfId="0" applyAlignment="1" applyFont="1">
      <alignment horizontal="left" shrinkToFit="0" vertical="center" wrapText="1"/>
    </xf>
    <xf borderId="15" fillId="0" fontId="7" numFmtId="0" xfId="0" applyAlignment="1" applyBorder="1" applyFont="1">
      <alignment shrinkToFit="0" vertical="bottom" wrapText="0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0" fillId="0" fontId="18" numFmtId="0" xfId="0" applyAlignment="1" applyFont="1">
      <alignment horizontal="left" shrinkToFit="0" vertical="top" wrapText="1"/>
    </xf>
  </cellXfs>
  <cellStyles count="1">
    <cellStyle xfId="0" name="Normal" builtinId="0"/>
  </cellStyles>
  <dxfs count="2">
    <dxf>
      <font>
        <i/>
        <color rgb="FF9AA0A6"/>
        <name val="Calibri"/>
      </font>
      <fill>
        <patternFill patternType="solid">
          <fgColor rgb="FFECECEF"/>
          <bgColor rgb="FFECECEF"/>
        </patternFill>
      </fill>
      <border/>
    </dxf>
    <dxf>
      <font>
        <b/>
        <color rgb="FF1E7F4F"/>
        <name val="Calibri"/>
      </font>
      <fill>
        <patternFill patternType="solid">
          <fgColor rgb="FFE9F6EF"/>
          <bgColor rgb="FFE9F6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47.0"/>
    <col customWidth="1" min="4" max="4" width="14.0"/>
    <col customWidth="1" min="5" max="5" width="11.0"/>
    <col customWidth="1" min="6" max="6" width="9.0"/>
    <col customWidth="1" min="7" max="7" width="15.0"/>
    <col customWidth="1" min="8" max="26" width="8.71"/>
  </cols>
  <sheetData>
    <row r="1" ht="39.75" customHeight="1">
      <c r="A1" s="1" t="s">
        <v>0</v>
      </c>
      <c r="E1" s="2" t="s">
        <v>1</v>
      </c>
    </row>
    <row r="2" ht="15.0" customHeight="1">
      <c r="A2" s="3" t="s">
        <v>2</v>
      </c>
      <c r="E2" s="4" t="s">
        <v>3</v>
      </c>
      <c r="F2" s="5" t="s">
        <v>4</v>
      </c>
    </row>
    <row r="3" ht="15.0" customHeight="1">
      <c r="A3" s="6" t="s">
        <v>5</v>
      </c>
      <c r="E3" s="4" t="s">
        <v>6</v>
      </c>
      <c r="F3" s="7">
        <v>46245.0</v>
      </c>
    </row>
    <row r="4" ht="27.75" customHeight="1">
      <c r="A4" s="4" t="s">
        <v>7</v>
      </c>
      <c r="E4" s="4" t="s">
        <v>8</v>
      </c>
      <c r="F4" s="8" t="str">
        <f>"30 jours — jusqu'au "&amp;TEXT(F3+30,"DD/MM/YYYY")</f>
        <v>30 jours — jusqu'au 10/09/2026</v>
      </c>
    </row>
    <row r="5" ht="15.0" customHeight="1">
      <c r="A5" s="4" t="s">
        <v>9</v>
      </c>
    </row>
    <row r="7" ht="3.75" customHeight="1">
      <c r="A7" s="9"/>
      <c r="B7" s="9"/>
      <c r="C7" s="9"/>
      <c r="D7" s="9"/>
      <c r="E7" s="9"/>
      <c r="F7" s="9"/>
      <c r="G7" s="9"/>
    </row>
    <row r="8" ht="15.0" customHeight="1">
      <c r="A8" s="10" t="s">
        <v>10</v>
      </c>
      <c r="B8" s="11"/>
      <c r="C8" s="11"/>
      <c r="D8" s="11"/>
      <c r="E8" s="11"/>
      <c r="F8" s="11"/>
      <c r="G8" s="12"/>
    </row>
    <row r="9" ht="15.0" customHeight="1">
      <c r="A9" s="6" t="s">
        <v>11</v>
      </c>
    </row>
    <row r="10" ht="15.0" customHeight="1">
      <c r="A10" s="13" t="s">
        <v>12</v>
      </c>
    </row>
    <row r="11" ht="15.0" customHeight="1">
      <c r="A11" s="13" t="s">
        <v>13</v>
      </c>
    </row>
    <row r="12" ht="15.0" customHeight="1">
      <c r="A12" s="13" t="s">
        <v>14</v>
      </c>
    </row>
    <row r="14" ht="25.5" customHeight="1">
      <c r="A14" s="14" t="s">
        <v>15</v>
      </c>
    </row>
    <row r="16" ht="21.75" customHeight="1">
      <c r="A16" s="15" t="s">
        <v>16</v>
      </c>
      <c r="B16" s="15" t="s">
        <v>17</v>
      </c>
      <c r="C16" s="15" t="s">
        <v>18</v>
      </c>
      <c r="D16" s="15" t="s">
        <v>19</v>
      </c>
      <c r="E16" s="15" t="s">
        <v>20</v>
      </c>
      <c r="F16" s="15" t="s">
        <v>21</v>
      </c>
      <c r="G16" s="15" t="s">
        <v>22</v>
      </c>
    </row>
    <row r="17" ht="19.5" customHeight="1">
      <c r="A17" s="16" t="s">
        <v>23</v>
      </c>
      <c r="B17" s="17"/>
      <c r="C17" s="17"/>
      <c r="D17" s="17"/>
      <c r="E17" s="17"/>
      <c r="F17" s="17"/>
      <c r="G17" s="18"/>
    </row>
    <row r="18" ht="19.5" customHeight="1">
      <c r="A18" s="19" t="s">
        <v>24</v>
      </c>
      <c r="B18" s="20" t="s">
        <v>25</v>
      </c>
      <c r="C18" s="21" t="s">
        <v>26</v>
      </c>
      <c r="D18" s="22" t="s">
        <v>27</v>
      </c>
      <c r="E18" s="23">
        <v>600.0</v>
      </c>
      <c r="F18" s="24">
        <v>1.5</v>
      </c>
      <c r="G18" s="25">
        <f t="shared" ref="G18:G19" si="1">E18*F18</f>
        <v>900</v>
      </c>
    </row>
    <row r="19" ht="19.5" customHeight="1">
      <c r="A19" s="26" t="s">
        <v>24</v>
      </c>
      <c r="B19" s="20" t="s">
        <v>25</v>
      </c>
      <c r="C19" s="21" t="s">
        <v>28</v>
      </c>
      <c r="D19" s="22" t="s">
        <v>27</v>
      </c>
      <c r="E19" s="23">
        <v>600.0</v>
      </c>
      <c r="F19" s="24">
        <v>1.5</v>
      </c>
      <c r="G19" s="25">
        <f t="shared" si="1"/>
        <v>900</v>
      </c>
    </row>
    <row r="20" ht="19.5" customHeight="1">
      <c r="A20" s="27" t="s">
        <v>29</v>
      </c>
      <c r="B20" s="17"/>
      <c r="C20" s="17"/>
      <c r="D20" s="17"/>
      <c r="E20" s="17"/>
      <c r="F20" s="18"/>
      <c r="G20" s="28">
        <f>SUMPRODUCT(($A$18:$A$19="Oui")+($A$18:$A$19=TRUE()),$G$18:$G$19)</f>
        <v>1800</v>
      </c>
    </row>
    <row r="21" ht="19.5" customHeight="1">
      <c r="A21" s="16" t="s">
        <v>30</v>
      </c>
      <c r="B21" s="17"/>
      <c r="C21" s="17"/>
      <c r="D21" s="17"/>
      <c r="E21" s="17"/>
      <c r="F21" s="17"/>
      <c r="G21" s="18"/>
    </row>
    <row r="22" ht="19.5" customHeight="1">
      <c r="A22" s="26" t="s">
        <v>24</v>
      </c>
      <c r="B22" s="20" t="s">
        <v>31</v>
      </c>
      <c r="C22" s="21" t="s">
        <v>32</v>
      </c>
      <c r="D22" s="22" t="s">
        <v>33</v>
      </c>
      <c r="E22" s="23">
        <v>600.0</v>
      </c>
      <c r="F22" s="24">
        <v>2.0</v>
      </c>
      <c r="G22" s="25">
        <f>E22*F22</f>
        <v>1200</v>
      </c>
    </row>
    <row r="23" ht="19.5" customHeight="1">
      <c r="A23" s="27" t="s">
        <v>34</v>
      </c>
      <c r="B23" s="17"/>
      <c r="C23" s="17"/>
      <c r="D23" s="17"/>
      <c r="E23" s="17"/>
      <c r="F23" s="18"/>
      <c r="G23" s="28">
        <f>SUMPRODUCT(($A$22="Oui")+($A$22=TRUE()),$G$22)</f>
        <v>1200</v>
      </c>
    </row>
    <row r="24" ht="19.5" customHeight="1">
      <c r="A24" s="16" t="s">
        <v>35</v>
      </c>
      <c r="B24" s="17"/>
      <c r="C24" s="17"/>
      <c r="D24" s="17"/>
      <c r="E24" s="17"/>
      <c r="F24" s="17"/>
      <c r="G24" s="18"/>
    </row>
    <row r="25" ht="19.5" customHeight="1">
      <c r="A25" s="26" t="s">
        <v>24</v>
      </c>
      <c r="B25" s="20" t="s">
        <v>36</v>
      </c>
      <c r="C25" s="21" t="s">
        <v>37</v>
      </c>
      <c r="D25" s="22" t="s">
        <v>38</v>
      </c>
      <c r="E25" s="23">
        <v>600.0</v>
      </c>
      <c r="F25" s="24">
        <v>2.0</v>
      </c>
      <c r="G25" s="25">
        <f t="shared" ref="G25:G26" si="2">E25*F25</f>
        <v>1200</v>
      </c>
    </row>
    <row r="26" ht="19.5" customHeight="1">
      <c r="A26" s="26" t="s">
        <v>24</v>
      </c>
      <c r="B26" s="20" t="s">
        <v>36</v>
      </c>
      <c r="C26" s="21" t="s">
        <v>39</v>
      </c>
      <c r="D26" s="22" t="s">
        <v>38</v>
      </c>
      <c r="E26" s="23">
        <v>600.0</v>
      </c>
      <c r="F26" s="24">
        <v>2.0</v>
      </c>
      <c r="G26" s="25">
        <f t="shared" si="2"/>
        <v>1200</v>
      </c>
    </row>
    <row r="27" ht="19.5" customHeight="1">
      <c r="A27" s="27" t="s">
        <v>40</v>
      </c>
      <c r="B27" s="17"/>
      <c r="C27" s="17"/>
      <c r="D27" s="17"/>
      <c r="E27" s="17"/>
      <c r="F27" s="18"/>
      <c r="G27" s="28">
        <f>SUMPRODUCT(($A$25:$A$26="Oui")+($A$25:$A$26=TRUE()),$G$25:$G$26)</f>
        <v>2400</v>
      </c>
    </row>
    <row r="28" ht="19.5" customHeight="1">
      <c r="A28" s="16" t="s">
        <v>41</v>
      </c>
      <c r="B28" s="17"/>
      <c r="C28" s="17"/>
      <c r="D28" s="17"/>
      <c r="E28" s="17"/>
      <c r="F28" s="17"/>
      <c r="G28" s="18"/>
    </row>
    <row r="29" ht="19.5" customHeight="1">
      <c r="A29" s="26" t="s">
        <v>24</v>
      </c>
      <c r="B29" s="20" t="s">
        <v>42</v>
      </c>
      <c r="C29" s="21" t="s">
        <v>43</v>
      </c>
      <c r="D29" s="22" t="s">
        <v>44</v>
      </c>
      <c r="E29" s="23">
        <v>600.0</v>
      </c>
      <c r="F29" s="24">
        <v>4.0</v>
      </c>
      <c r="G29" s="25">
        <f t="shared" ref="G29:G34" si="3">E29*F29</f>
        <v>2400</v>
      </c>
    </row>
    <row r="30" ht="19.5" customHeight="1">
      <c r="A30" s="26" t="s">
        <v>24</v>
      </c>
      <c r="B30" s="20" t="s">
        <v>42</v>
      </c>
      <c r="C30" s="21" t="s">
        <v>45</v>
      </c>
      <c r="D30" s="22" t="s">
        <v>46</v>
      </c>
      <c r="E30" s="23">
        <v>600.0</v>
      </c>
      <c r="F30" s="24">
        <f>F29*0.25</f>
        <v>1</v>
      </c>
      <c r="G30" s="25">
        <f t="shared" si="3"/>
        <v>600</v>
      </c>
    </row>
    <row r="31" ht="19.5" customHeight="1">
      <c r="A31" s="26" t="s">
        <v>24</v>
      </c>
      <c r="B31" s="20" t="s">
        <v>42</v>
      </c>
      <c r="C31" s="21" t="s">
        <v>47</v>
      </c>
      <c r="D31" s="22" t="s">
        <v>44</v>
      </c>
      <c r="E31" s="23">
        <v>600.0</v>
      </c>
      <c r="F31" s="24">
        <v>4.0</v>
      </c>
      <c r="G31" s="25">
        <f t="shared" si="3"/>
        <v>2400</v>
      </c>
    </row>
    <row r="32" ht="19.5" customHeight="1">
      <c r="A32" s="26" t="s">
        <v>24</v>
      </c>
      <c r="B32" s="20" t="s">
        <v>42</v>
      </c>
      <c r="C32" s="21" t="s">
        <v>48</v>
      </c>
      <c r="D32" s="22" t="s">
        <v>46</v>
      </c>
      <c r="E32" s="23">
        <v>600.0</v>
      </c>
      <c r="F32" s="24">
        <f>F31*0.25</f>
        <v>1</v>
      </c>
      <c r="G32" s="25">
        <f t="shared" si="3"/>
        <v>600</v>
      </c>
    </row>
    <row r="33" ht="19.5" customHeight="1">
      <c r="A33" s="26" t="s">
        <v>24</v>
      </c>
      <c r="B33" s="20" t="s">
        <v>42</v>
      </c>
      <c r="C33" s="21" t="s">
        <v>49</v>
      </c>
      <c r="D33" s="22" t="s">
        <v>50</v>
      </c>
      <c r="E33" s="23">
        <v>600.0</v>
      </c>
      <c r="F33" s="24">
        <v>1.5</v>
      </c>
      <c r="G33" s="25">
        <f t="shared" si="3"/>
        <v>900</v>
      </c>
    </row>
    <row r="34" ht="19.5" customHeight="1">
      <c r="A34" s="26" t="s">
        <v>24</v>
      </c>
      <c r="B34" s="20" t="s">
        <v>42</v>
      </c>
      <c r="C34" s="21" t="s">
        <v>51</v>
      </c>
      <c r="D34" s="22" t="s">
        <v>46</v>
      </c>
      <c r="E34" s="23">
        <v>600.0</v>
      </c>
      <c r="F34" s="24">
        <v>2.0</v>
      </c>
      <c r="G34" s="25">
        <f t="shared" si="3"/>
        <v>1200</v>
      </c>
    </row>
    <row r="35" ht="19.5" customHeight="1">
      <c r="A35" s="27" t="s">
        <v>52</v>
      </c>
      <c r="B35" s="17"/>
      <c r="C35" s="17"/>
      <c r="D35" s="17"/>
      <c r="E35" s="17"/>
      <c r="F35" s="18"/>
      <c r="G35" s="28">
        <f>SUMPRODUCT(($A$29:$A$34="Oui")+($A$29:$A$34=TRUE()),$G$29:$G$34)</f>
        <v>8100</v>
      </c>
    </row>
    <row r="36" ht="19.5" customHeight="1">
      <c r="A36" s="16" t="s">
        <v>53</v>
      </c>
      <c r="B36" s="17"/>
      <c r="C36" s="17"/>
      <c r="D36" s="17"/>
      <c r="E36" s="17"/>
      <c r="F36" s="17"/>
      <c r="G36" s="18"/>
    </row>
    <row r="37" ht="19.5" customHeight="1">
      <c r="A37" s="26" t="s">
        <v>24</v>
      </c>
      <c r="B37" s="20" t="s">
        <v>54</v>
      </c>
      <c r="C37" s="21" t="s">
        <v>55</v>
      </c>
      <c r="D37" s="22" t="s">
        <v>56</v>
      </c>
      <c r="E37" s="23">
        <v>600.0</v>
      </c>
      <c r="F37" s="24">
        <v>1.5</v>
      </c>
      <c r="G37" s="25">
        <f>E37*F37</f>
        <v>900</v>
      </c>
    </row>
    <row r="38" ht="19.5" customHeight="1">
      <c r="A38" s="27" t="s">
        <v>57</v>
      </c>
      <c r="B38" s="17"/>
      <c r="C38" s="17"/>
      <c r="D38" s="17"/>
      <c r="E38" s="17"/>
      <c r="F38" s="18"/>
      <c r="G38" s="28">
        <f>SUMPRODUCT(($A$37="Oui")+($A$37=TRUE()),$G$37)</f>
        <v>900</v>
      </c>
    </row>
    <row r="39" ht="19.5" customHeight="1">
      <c r="A39" s="16" t="s">
        <v>58</v>
      </c>
      <c r="B39" s="17"/>
      <c r="C39" s="17"/>
      <c r="D39" s="17"/>
      <c r="E39" s="17"/>
      <c r="F39" s="17"/>
      <c r="G39" s="18"/>
    </row>
    <row r="40" ht="19.5" customHeight="1">
      <c r="A40" s="26" t="s">
        <v>24</v>
      </c>
      <c r="B40" s="20" t="s">
        <v>59</v>
      </c>
      <c r="C40" s="21" t="s">
        <v>60</v>
      </c>
      <c r="D40" s="22" t="s">
        <v>61</v>
      </c>
      <c r="E40" s="20" t="s">
        <v>62</v>
      </c>
      <c r="F40" s="20" t="s">
        <v>62</v>
      </c>
      <c r="G40" s="25">
        <v>150.0</v>
      </c>
    </row>
    <row r="41" ht="19.5" customHeight="1">
      <c r="A41" s="27" t="s">
        <v>63</v>
      </c>
      <c r="B41" s="17"/>
      <c r="C41" s="17"/>
      <c r="D41" s="17"/>
      <c r="E41" s="17"/>
      <c r="F41" s="18"/>
      <c r="G41" s="28">
        <f>SUMPRODUCT(($A$40="Oui")+($A$40=TRUE()),$G$40)</f>
        <v>150</v>
      </c>
    </row>
    <row r="42" ht="19.5" customHeight="1">
      <c r="A42" s="29" t="s">
        <v>64</v>
      </c>
      <c r="B42" s="17"/>
      <c r="C42" s="17"/>
      <c r="D42" s="17"/>
      <c r="E42" s="17"/>
      <c r="F42" s="17"/>
      <c r="G42" s="18"/>
    </row>
    <row r="43" ht="19.5" customHeight="1">
      <c r="A43" s="26" t="s">
        <v>65</v>
      </c>
      <c r="B43" s="20" t="s">
        <v>66</v>
      </c>
      <c r="C43" s="21" t="s">
        <v>67</v>
      </c>
      <c r="D43" s="22" t="s">
        <v>56</v>
      </c>
      <c r="E43" s="23">
        <v>600.0</v>
      </c>
      <c r="F43" s="24">
        <v>2.0</v>
      </c>
      <c r="G43" s="25">
        <f>E43*F43</f>
        <v>1200</v>
      </c>
    </row>
    <row r="44" ht="19.5" customHeight="1">
      <c r="A44" s="27" t="s">
        <v>68</v>
      </c>
      <c r="B44" s="17"/>
      <c r="C44" s="17"/>
      <c r="D44" s="17"/>
      <c r="E44" s="17"/>
      <c r="F44" s="18"/>
      <c r="G44" s="28">
        <f>SUMPRODUCT(($A$43="Oui")+($A$43=TRUE()),$G$43)</f>
        <v>0</v>
      </c>
    </row>
    <row r="45" ht="15.75" customHeight="1"/>
    <row r="46" ht="18.0" customHeight="1">
      <c r="A46" s="30" t="s">
        <v>69</v>
      </c>
      <c r="G46" s="31">
        <f>G20+G23+G27+G35+G38+G41</f>
        <v>14550</v>
      </c>
    </row>
    <row r="47" ht="18.0" customHeight="1">
      <c r="A47" s="30" t="s">
        <v>70</v>
      </c>
      <c r="G47" s="31">
        <f>G44</f>
        <v>0</v>
      </c>
    </row>
    <row r="48" ht="19.5" customHeight="1">
      <c r="A48" s="32" t="s">
        <v>71</v>
      </c>
      <c r="B48" s="11"/>
      <c r="C48" s="11"/>
      <c r="D48" s="11"/>
      <c r="E48" s="12"/>
      <c r="F48" s="33"/>
      <c r="G48" s="34">
        <f>SUMPRODUCT(($A$18:$A$43="Oui")+($A$18:$A$43=TRUE()),$G$18:$G$43)</f>
        <v>14550</v>
      </c>
    </row>
    <row r="49" ht="19.5" customHeight="1">
      <c r="A49" s="32" t="s">
        <v>72</v>
      </c>
      <c r="B49" s="11"/>
      <c r="C49" s="11"/>
      <c r="D49" s="11"/>
      <c r="E49" s="12"/>
      <c r="F49" s="33"/>
      <c r="G49" s="34">
        <f>G48*0.2</f>
        <v>2910</v>
      </c>
    </row>
    <row r="50" ht="25.5" customHeight="1">
      <c r="A50" s="35" t="s">
        <v>73</v>
      </c>
      <c r="B50" s="36"/>
      <c r="C50" s="36"/>
      <c r="D50" s="36"/>
      <c r="E50" s="37"/>
      <c r="F50" s="38"/>
      <c r="G50" s="39">
        <f>G48+G49</f>
        <v>17460</v>
      </c>
    </row>
    <row r="51" ht="15.75" customHeight="1"/>
    <row r="52" ht="21.75" customHeight="1">
      <c r="A52" s="40" t="s">
        <v>74</v>
      </c>
      <c r="B52" s="41"/>
      <c r="C52" s="41"/>
      <c r="D52" s="41"/>
      <c r="E52" s="41"/>
      <c r="F52" s="41"/>
      <c r="G52" s="41"/>
    </row>
    <row r="53" ht="15.0" customHeight="1">
      <c r="A53" s="42" t="s">
        <v>75</v>
      </c>
    </row>
    <row r="54" ht="15.0" customHeight="1">
      <c r="A54" s="43" t="s">
        <v>76</v>
      </c>
    </row>
    <row r="55" ht="15.0" customHeight="1">
      <c r="A55" s="43" t="s">
        <v>77</v>
      </c>
    </row>
    <row r="56" ht="15.0" customHeight="1">
      <c r="A56" s="43" t="s">
        <v>78</v>
      </c>
    </row>
    <row r="57" ht="15.0" customHeight="1">
      <c r="A57" s="43" t="s">
        <v>79</v>
      </c>
    </row>
    <row r="58" ht="15.75" customHeight="1"/>
    <row r="59" ht="21.75" customHeight="1">
      <c r="A59" s="40" t="s">
        <v>80</v>
      </c>
      <c r="B59" s="41"/>
      <c r="C59" s="41"/>
      <c r="D59" s="41"/>
      <c r="E59" s="41"/>
      <c r="F59" s="41"/>
      <c r="G59" s="41"/>
    </row>
    <row r="60" ht="30.0" customHeight="1">
      <c r="A60" s="43" t="s">
        <v>81</v>
      </c>
    </row>
    <row r="61" ht="30.0" customHeight="1">
      <c r="A61" s="43" t="s">
        <v>82</v>
      </c>
    </row>
    <row r="62" ht="30.0" customHeight="1">
      <c r="A62" s="43" t="s">
        <v>83</v>
      </c>
    </row>
    <row r="63" ht="42.0" customHeight="1">
      <c r="A63" s="43" t="s">
        <v>84</v>
      </c>
    </row>
    <row r="64" ht="15.75" customHeight="1"/>
    <row r="65" ht="27.75" customHeight="1">
      <c r="A65" s="44" t="s">
        <v>85</v>
      </c>
    </row>
    <row r="66" ht="15.75" customHeight="1"/>
    <row r="67" ht="15.0" customHeight="1">
      <c r="A67" s="6" t="s">
        <v>86</v>
      </c>
      <c r="D67" s="4" t="s">
        <v>87</v>
      </c>
    </row>
    <row r="68" ht="15.0" customHeight="1">
      <c r="A68" s="14" t="s">
        <v>88</v>
      </c>
      <c r="D68" s="45"/>
      <c r="E68" s="46"/>
      <c r="F68" s="46"/>
      <c r="G68" s="47"/>
    </row>
    <row r="69" ht="19.5" customHeight="1">
      <c r="D69" s="48"/>
      <c r="G69" s="49"/>
    </row>
    <row r="70" ht="19.5" customHeight="1">
      <c r="D70" s="50"/>
      <c r="E70" s="41"/>
      <c r="F70" s="41"/>
      <c r="G70" s="51"/>
    </row>
    <row r="71" ht="15.75" customHeight="1"/>
    <row r="72" ht="45.75" customHeight="1">
      <c r="A72" s="52" t="s">
        <v>89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D1"/>
    <mergeCell ref="E1:G1"/>
    <mergeCell ref="A2:D2"/>
    <mergeCell ref="F2:G2"/>
    <mergeCell ref="A3:D3"/>
    <mergeCell ref="F3:G3"/>
    <mergeCell ref="F4:G4"/>
    <mergeCell ref="A4:D4"/>
    <mergeCell ref="A5:D5"/>
    <mergeCell ref="A8:G8"/>
    <mergeCell ref="A9:G9"/>
    <mergeCell ref="A10:G10"/>
    <mergeCell ref="A11:G11"/>
    <mergeCell ref="A12:G12"/>
    <mergeCell ref="A14:G14"/>
    <mergeCell ref="A17:G17"/>
    <mergeCell ref="A20:F20"/>
    <mergeCell ref="A21:G21"/>
    <mergeCell ref="A23:F23"/>
    <mergeCell ref="A24:G24"/>
    <mergeCell ref="A28:G28"/>
    <mergeCell ref="A27:F27"/>
    <mergeCell ref="A35:F35"/>
    <mergeCell ref="A36:G36"/>
    <mergeCell ref="A38:F38"/>
    <mergeCell ref="A39:G39"/>
    <mergeCell ref="A41:F41"/>
    <mergeCell ref="A42:G42"/>
    <mergeCell ref="A44:F44"/>
    <mergeCell ref="A46:E46"/>
    <mergeCell ref="A47:E47"/>
    <mergeCell ref="A48:E48"/>
    <mergeCell ref="A49:E49"/>
    <mergeCell ref="A50:E50"/>
    <mergeCell ref="A52:G52"/>
    <mergeCell ref="A53:G53"/>
    <mergeCell ref="A54:G54"/>
    <mergeCell ref="A55:G55"/>
    <mergeCell ref="A56:G56"/>
    <mergeCell ref="A57:G57"/>
    <mergeCell ref="A59:G59"/>
    <mergeCell ref="A60:G60"/>
    <mergeCell ref="D68:G70"/>
    <mergeCell ref="A72:G72"/>
    <mergeCell ref="A61:G61"/>
    <mergeCell ref="A62:G62"/>
    <mergeCell ref="A63:G63"/>
    <mergeCell ref="A65:G65"/>
    <mergeCell ref="A67:C67"/>
    <mergeCell ref="D67:G67"/>
    <mergeCell ref="A68:C68"/>
  </mergeCells>
  <conditionalFormatting sqref="A18:G43">
    <cfRule type="expression" dxfId="0" priority="1">
      <formula>OR($A18="Non",$A18=0)</formula>
    </cfRule>
  </conditionalFormatting>
  <conditionalFormatting sqref="A18:A43">
    <cfRule type="expression" dxfId="1" priority="2">
      <formula>OR($A18="Oui",$A18=1)</formula>
    </cfRule>
  </conditionalFormatting>
  <dataValidations>
    <dataValidation type="list" allowBlank="1" sqref="A18:A19 A22 A25:A26 A29:A34 A37 A40 A43">
      <formula1>"Oui,Non"</formula1>
    </dataValidation>
  </dataValidations>
  <printOptions/>
  <pageMargins bottom="0.5" footer="0.0" header="0.0" left="0.4" right="0.4" top="0.5"/>
  <pageSetup fitToHeight="0" paperSize="9" orientation="portrait"/>
  <drawing r:id="rId1"/>
</worksheet>
</file>